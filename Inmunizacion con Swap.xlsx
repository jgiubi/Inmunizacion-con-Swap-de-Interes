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76" yWindow="36" windowWidth="14628" windowHeight="5856" firstSheet="4" activeTab="4"/>
  </bookViews>
  <sheets>
    <sheet name="Pasivo" sheetId="1" r:id="rId1"/>
    <sheet name="Cartera" sheetId="2" r:id="rId2"/>
    <sheet name="Cartera (Solver)" sheetId="6" r:id="rId3"/>
    <sheet name="Swap e Inumnizacion" sheetId="3" r:id="rId4"/>
    <sheet name="Stress Test" sheetId="5" r:id="rId5"/>
  </sheets>
  <definedNames>
    <definedName name="df_stress" localSheetId="4">'Stress Test'!$A$21:$F$34</definedName>
    <definedName name="solver_adj" localSheetId="2" hidden="1">'Cartera (Solver)'!$C$2</definedName>
    <definedName name="solver_adj1" localSheetId="2" hidden="1">'Cartera (Solver)'!$C$3</definedName>
    <definedName name="solver_eng" localSheetId="2" hidden="1">0</definedName>
    <definedName name="solver_lhs1" localSheetId="2" hidden="1">'Cartera (Solver)'!$C$4</definedName>
    <definedName name="solver_neg" localSheetId="2" hidden="1">1</definedName>
    <definedName name="solver_num" localSheetId="2" hidden="1">1</definedName>
    <definedName name="solver_opt" localSheetId="2" hidden="1">'Cartera (Solver)'!$D$7</definedName>
    <definedName name="solver_rel1" localSheetId="2" hidden="1">2</definedName>
    <definedName name="solver_rhs1" localSheetId="2" hidden="1">1</definedName>
    <definedName name="solver_rxc1" localSheetId="2" hidden="1">1</definedName>
    <definedName name="solver_rxv" localSheetId="2" hidden="1">1</definedName>
    <definedName name="solver_rxv1" localSheetId="2" hidden="1">1</definedName>
    <definedName name="solver_typ" localSheetId="2" hidden="1">2</definedName>
    <definedName name="solver_val" localSheetId="2" hidden="1">0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6" l="1"/>
  <c r="D3" i="6"/>
  <c r="D2" i="6"/>
  <c r="D6" i="6" s="1"/>
  <c r="D7" i="6" s="1"/>
  <c r="E6" i="3"/>
  <c r="C8" i="3"/>
  <c r="C7" i="3"/>
  <c r="C6" i="3"/>
  <c r="D3" i="2"/>
  <c r="D2" i="2"/>
  <c r="D4" i="2" s="1"/>
  <c r="E5" i="1"/>
  <c r="B7" i="1"/>
  <c r="B8" i="1" s="1"/>
  <c r="B6" i="1"/>
  <c r="B16" i="3" l="1"/>
  <c r="B3" i="3"/>
  <c r="D6" i="3" s="1"/>
  <c r="D5" i="2"/>
  <c r="D8" i="3"/>
  <c r="D7" i="3"/>
  <c r="D9" i="3" l="1"/>
  <c r="D10" i="3"/>
  <c r="D11" i="3"/>
  <c r="B14" i="3"/>
  <c r="B15" i="3"/>
  <c r="B17" i="3"/>
</calcChain>
</file>

<file path=xl/connections.xml><?xml version="1.0" encoding="utf-8"?>
<connections xmlns="http://schemas.openxmlformats.org/spreadsheetml/2006/main">
  <connection id="1" name="df_stress" type="6" refreshedVersion="4" background="1" saveData="1">
    <textPr codePage="850" sourceFile="C:\Program1\Proyectos\Github\Inmunizacion con Swap\df_stress.csv" tab="0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<sst xmlns="http://schemas.openxmlformats.org/spreadsheetml/2006/main" count="49" uniqueCount="36">
  <si>
    <t>Pasivo</t>
  </si>
  <si>
    <t>cupon zero</t>
  </si>
  <si>
    <t>Año</t>
  </si>
  <si>
    <t>Flujo</t>
  </si>
  <si>
    <t>Valor Final</t>
  </si>
  <si>
    <t>Plazo (años)</t>
  </si>
  <si>
    <t>Tasa</t>
  </si>
  <si>
    <t>Valor presente</t>
  </si>
  <si>
    <t>Duration</t>
  </si>
  <si>
    <t>Duration Modificada</t>
  </si>
  <si>
    <t>Bonos</t>
  </si>
  <si>
    <t>Pesos</t>
  </si>
  <si>
    <t>Duration ponderada</t>
  </si>
  <si>
    <t>AL29</t>
  </si>
  <si>
    <t>AE38</t>
  </si>
  <si>
    <t>Duration modificada de Cartera</t>
  </si>
  <si>
    <t>GAP</t>
  </si>
  <si>
    <t>Suma pesos</t>
  </si>
  <si>
    <t>Dur Mod</t>
  </si>
  <si>
    <t>Swap</t>
  </si>
  <si>
    <t>Nocional</t>
  </si>
  <si>
    <t>par rate</t>
  </si>
  <si>
    <t>Tasas Spot</t>
  </si>
  <si>
    <t>Factor de Descuento</t>
  </si>
  <si>
    <t>Flujo Fijo</t>
  </si>
  <si>
    <t>Flujo Flotante</t>
  </si>
  <si>
    <t>-</t>
  </si>
  <si>
    <t>Duration Mod</t>
  </si>
  <si>
    <t>Duration post swap</t>
  </si>
  <si>
    <t>Duration pasivo</t>
  </si>
  <si>
    <t>shock_bps</t>
  </si>
  <si>
    <t>dL</t>
  </si>
  <si>
    <t>dA_sin_swap</t>
  </si>
  <si>
    <t>dA_con_swap</t>
  </si>
  <si>
    <t>error_sin</t>
  </si>
  <si>
    <t>error_con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</si>
</sst>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0" xfId="0" applyFont="1"/>
    <xf numFmtId="164" fontId="0" fillId="0" borderId="2" xfId="0" applyNumberFormat="1" applyBorder="1"/>
    <xf numFmtId="0" fontId="0" fillId="0" borderId="1" xfId="0" applyBorder="1"/>
    <xf numFmtId="0" fontId="0" fillId="0" borderId="0" xfId="0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10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'Stress Test'!$E$1</c:f>
              <c:strCache>
                <c:ptCount val="1"/>
                <c:pt idx="0">
                  <c:v>error_sin</c:v>
                </c:pt>
              </c:strCache>
            </c:strRef>
          </c:tx>
          <c:marker>
            <c:symbol val="none"/>
          </c:marker>
          <c:cat>
            <c:numRef>
              <c:f>'Stress Test'!$A$2:$A$14</c:f>
              <c:numCache>
                <c:formatCode>General</c:formatCode>
                <c:ptCount val="13"/>
                <c:pt idx="0">
                  <c:v>-300</c:v>
                </c:pt>
                <c:pt idx="1">
                  <c:v>-250</c:v>
                </c:pt>
                <c:pt idx="2">
                  <c:v>-200</c:v>
                </c:pt>
                <c:pt idx="3">
                  <c:v>-150</c:v>
                </c:pt>
                <c:pt idx="4">
                  <c:v>-100</c:v>
                </c:pt>
                <c:pt idx="5">
                  <c:v>-50</c:v>
                </c:pt>
                <c:pt idx="6">
                  <c:v>0</c:v>
                </c:pt>
                <c:pt idx="7">
                  <c:v>50</c:v>
                </c:pt>
                <c:pt idx="8">
                  <c:v>100</c:v>
                </c:pt>
                <c:pt idx="9">
                  <c:v>150</c:v>
                </c:pt>
                <c:pt idx="10">
                  <c:v>200</c:v>
                </c:pt>
                <c:pt idx="11">
                  <c:v>250</c:v>
                </c:pt>
                <c:pt idx="12">
                  <c:v>300</c:v>
                </c:pt>
              </c:numCache>
            </c:numRef>
          </c:cat>
          <c:val>
            <c:numRef>
              <c:f>'Stress Test'!$E$2:$E$14</c:f>
              <c:numCache>
                <c:formatCode>General</c:formatCode>
                <c:ptCount val="13"/>
                <c:pt idx="0">
                  <c:v>6232.17351688699</c:v>
                </c:pt>
                <c:pt idx="1">
                  <c:v>5893.4871139330999</c:v>
                </c:pt>
                <c:pt idx="2">
                  <c:v>5265.9017998927202</c:v>
                </c:pt>
                <c:pt idx="3">
                  <c:v>4356.2310749162998</c:v>
                </c:pt>
                <c:pt idx="4">
                  <c:v>3171.0965145810201</c:v>
                </c:pt>
                <c:pt idx="5">
                  <c:v>1716.9340476069401</c:v>
                </c:pt>
                <c:pt idx="6" formatCode="0.00E+00">
                  <c:v>-2.1619361776026799E-11</c:v>
                </c:pt>
                <c:pt idx="7">
                  <c:v>-1973.62308466164</c:v>
                </c:pt>
                <c:pt idx="8">
                  <c:v>-4198.0208395019299</c:v>
                </c:pt>
                <c:pt idx="9">
                  <c:v>-6667.4416743340298</c:v>
                </c:pt>
                <c:pt idx="10">
                  <c:v>-9376.2915728962907</c:v>
                </c:pt>
                <c:pt idx="11">
                  <c:v>-12319.129079280199</c:v>
                </c:pt>
                <c:pt idx="12">
                  <c:v>-15490.660465833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'Stress Test'!$F$1</c:f>
              <c:strCache>
                <c:ptCount val="1"/>
                <c:pt idx="0">
                  <c:v>error_con</c:v>
                </c:pt>
              </c:strCache>
            </c:strRef>
          </c:tx>
          <c:marker>
            <c:symbol val="none"/>
          </c:marker>
          <c:cat>
            <c:numRef>
              <c:f>'Stress Test'!$A$2:$A$14</c:f>
              <c:numCache>
                <c:formatCode>General</c:formatCode>
                <c:ptCount val="13"/>
                <c:pt idx="0">
                  <c:v>-300</c:v>
                </c:pt>
                <c:pt idx="1">
                  <c:v>-250</c:v>
                </c:pt>
                <c:pt idx="2">
                  <c:v>-200</c:v>
                </c:pt>
                <c:pt idx="3">
                  <c:v>-150</c:v>
                </c:pt>
                <c:pt idx="4">
                  <c:v>-100</c:v>
                </c:pt>
                <c:pt idx="5">
                  <c:v>-50</c:v>
                </c:pt>
                <c:pt idx="6">
                  <c:v>0</c:v>
                </c:pt>
                <c:pt idx="7">
                  <c:v>50</c:v>
                </c:pt>
                <c:pt idx="8">
                  <c:v>100</c:v>
                </c:pt>
                <c:pt idx="9">
                  <c:v>150</c:v>
                </c:pt>
                <c:pt idx="10">
                  <c:v>200</c:v>
                </c:pt>
                <c:pt idx="11">
                  <c:v>250</c:v>
                </c:pt>
                <c:pt idx="12">
                  <c:v>300</c:v>
                </c:pt>
              </c:numCache>
            </c:numRef>
          </c:cat>
          <c:val>
            <c:numRef>
              <c:f>'Stress Test'!$F$2:$F$14</c:f>
              <c:numCache>
                <c:formatCode>General</c:formatCode>
                <c:ptCount val="13"/>
                <c:pt idx="0">
                  <c:v>-5504.3716961852397</c:v>
                </c:pt>
                <c:pt idx="1">
                  <c:v>-3791.7540144802701</c:v>
                </c:pt>
                <c:pt idx="2">
                  <c:v>-2407.3522473724602</c:v>
                </c:pt>
                <c:pt idx="3">
                  <c:v>-1343.4090258162901</c:v>
                </c:pt>
                <c:pt idx="4">
                  <c:v>-592.38604052470305</c:v>
                </c:pt>
                <c:pt idx="5">
                  <c:v>-146.95685722512999</c:v>
                </c:pt>
                <c:pt idx="6" formatCode="0.00E+00">
                  <c:v>-2.1619361776026799E-11</c:v>
                </c:pt>
                <c:pt idx="7">
                  <c:v>-144.59229152615001</c:v>
                </c:pt>
                <c:pt idx="8">
                  <c:v>-574.00243951315497</c:v>
                </c:pt>
                <c:pt idx="9">
                  <c:v>-1281.6848591590101</c:v>
                </c:pt>
                <c:pt idx="10">
                  <c:v>-2261.2737218837701</c:v>
                </c:pt>
                <c:pt idx="11">
                  <c:v>-3506.5772210719201</c:v>
                </c:pt>
                <c:pt idx="12">
                  <c:v>-5011.5720459456497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080640"/>
        <c:axId val="333120064"/>
      </c:lineChart>
      <c:catAx>
        <c:axId val="148080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33120064"/>
        <c:crosses val="autoZero"/>
        <c:auto val="1"/>
        <c:lblAlgn val="ctr"/>
        <c:lblOffset val="100"/>
        <c:noMultiLvlLbl val="0"/>
      </c:catAx>
      <c:valAx>
        <c:axId val="3331200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80806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'Stress Test'!$C$1</c:f>
              <c:strCache>
                <c:ptCount val="1"/>
                <c:pt idx="0">
                  <c:v>dA_sin_swap</c:v>
                </c:pt>
              </c:strCache>
            </c:strRef>
          </c:tx>
          <c:marker>
            <c:symbol val="none"/>
          </c:marker>
          <c:cat>
            <c:numRef>
              <c:f>'Stress Test'!$A$2:$A$14</c:f>
              <c:numCache>
                <c:formatCode>General</c:formatCode>
                <c:ptCount val="13"/>
                <c:pt idx="0">
                  <c:v>-300</c:v>
                </c:pt>
                <c:pt idx="1">
                  <c:v>-250</c:v>
                </c:pt>
                <c:pt idx="2">
                  <c:v>-200</c:v>
                </c:pt>
                <c:pt idx="3">
                  <c:v>-150</c:v>
                </c:pt>
                <c:pt idx="4">
                  <c:v>-100</c:v>
                </c:pt>
                <c:pt idx="5">
                  <c:v>-50</c:v>
                </c:pt>
                <c:pt idx="6">
                  <c:v>0</c:v>
                </c:pt>
                <c:pt idx="7">
                  <c:v>50</c:v>
                </c:pt>
                <c:pt idx="8">
                  <c:v>100</c:v>
                </c:pt>
                <c:pt idx="9">
                  <c:v>150</c:v>
                </c:pt>
                <c:pt idx="10">
                  <c:v>200</c:v>
                </c:pt>
                <c:pt idx="11">
                  <c:v>250</c:v>
                </c:pt>
                <c:pt idx="12">
                  <c:v>300</c:v>
                </c:pt>
              </c:numCache>
            </c:numRef>
          </c:cat>
          <c:val>
            <c:numRef>
              <c:f>'Stress Test'!$C$2:$C$14</c:f>
              <c:numCache>
                <c:formatCode>General</c:formatCode>
                <c:ptCount val="13"/>
                <c:pt idx="0">
                  <c:v>93470.351652962301</c:v>
                </c:pt>
                <c:pt idx="1">
                  <c:v>77891.959710801893</c:v>
                </c:pt>
                <c:pt idx="2">
                  <c:v>62313.5677686415</c:v>
                </c:pt>
                <c:pt idx="3">
                  <c:v>46735.1758264811</c:v>
                </c:pt>
                <c:pt idx="4">
                  <c:v>31156.783884320699</c:v>
                </c:pt>
                <c:pt idx="5">
                  <c:v>15578.3919421603</c:v>
                </c:pt>
                <c:pt idx="6" formatCode="0.00E+00">
                  <c:v>-2.1619361776026799E-11</c:v>
                </c:pt>
                <c:pt idx="7">
                  <c:v>-15578.391942160401</c:v>
                </c:pt>
                <c:pt idx="8">
                  <c:v>-31156.783884320801</c:v>
                </c:pt>
                <c:pt idx="9">
                  <c:v>-46735.175826481202</c:v>
                </c:pt>
                <c:pt idx="10">
                  <c:v>-62313.567768641602</c:v>
                </c:pt>
                <c:pt idx="11">
                  <c:v>-77891.959710801995</c:v>
                </c:pt>
                <c:pt idx="12">
                  <c:v>-93470.351652962403</c:v>
                </c:pt>
              </c:numCache>
            </c:numRef>
          </c:val>
          <c:smooth val="0"/>
        </c:ser>
        <c:ser>
          <c:idx val="3"/>
          <c:order val="1"/>
          <c:tx>
            <c:strRef>
              <c:f>'Stress Test'!$D$1</c:f>
              <c:strCache>
                <c:ptCount val="1"/>
                <c:pt idx="0">
                  <c:v>dA_con_swap</c:v>
                </c:pt>
              </c:strCache>
            </c:strRef>
          </c:tx>
          <c:marker>
            <c:symbol val="none"/>
          </c:marker>
          <c:cat>
            <c:numRef>
              <c:f>'Stress Test'!$A$2:$A$14</c:f>
              <c:numCache>
                <c:formatCode>General</c:formatCode>
                <c:ptCount val="13"/>
                <c:pt idx="0">
                  <c:v>-300</c:v>
                </c:pt>
                <c:pt idx="1">
                  <c:v>-250</c:v>
                </c:pt>
                <c:pt idx="2">
                  <c:v>-200</c:v>
                </c:pt>
                <c:pt idx="3">
                  <c:v>-150</c:v>
                </c:pt>
                <c:pt idx="4">
                  <c:v>-100</c:v>
                </c:pt>
                <c:pt idx="5">
                  <c:v>-50</c:v>
                </c:pt>
                <c:pt idx="6">
                  <c:v>0</c:v>
                </c:pt>
                <c:pt idx="7">
                  <c:v>50</c:v>
                </c:pt>
                <c:pt idx="8">
                  <c:v>100</c:v>
                </c:pt>
                <c:pt idx="9">
                  <c:v>150</c:v>
                </c:pt>
                <c:pt idx="10">
                  <c:v>200</c:v>
                </c:pt>
                <c:pt idx="11">
                  <c:v>250</c:v>
                </c:pt>
                <c:pt idx="12">
                  <c:v>300</c:v>
                </c:pt>
              </c:numCache>
            </c:numRef>
          </c:cat>
          <c:val>
            <c:numRef>
              <c:f>'Stress Test'!$D$2:$D$14</c:f>
              <c:numCache>
                <c:formatCode>General</c:formatCode>
                <c:ptCount val="13"/>
                <c:pt idx="0">
                  <c:v>81733.806439890104</c:v>
                </c:pt>
                <c:pt idx="1">
                  <c:v>68206.718582388596</c:v>
                </c:pt>
                <c:pt idx="2">
                  <c:v>54640.313721376297</c:v>
                </c:pt>
                <c:pt idx="3">
                  <c:v>41035.535725748501</c:v>
                </c:pt>
                <c:pt idx="4">
                  <c:v>27393.301329214999</c:v>
                </c:pt>
                <c:pt idx="5">
                  <c:v>13714.5010373283</c:v>
                </c:pt>
                <c:pt idx="6" formatCode="0.00E+00">
                  <c:v>-2.1619361776026799E-11</c:v>
                </c:pt>
                <c:pt idx="7">
                  <c:v>-13749.3611490249</c:v>
                </c:pt>
                <c:pt idx="8">
                  <c:v>-27532.765484332002</c:v>
                </c:pt>
                <c:pt idx="9">
                  <c:v>-41349.4190113062</c:v>
                </c:pt>
                <c:pt idx="10">
                  <c:v>-55198.549917629098</c:v>
                </c:pt>
                <c:pt idx="11">
                  <c:v>-69079.407852593693</c:v>
                </c:pt>
                <c:pt idx="12">
                  <c:v>-82991.263233075006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081664"/>
        <c:axId val="333123520"/>
      </c:lineChart>
      <c:catAx>
        <c:axId val="148081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33123520"/>
        <c:crosses val="autoZero"/>
        <c:auto val="1"/>
        <c:lblAlgn val="ctr"/>
        <c:lblOffset val="100"/>
        <c:noMultiLvlLbl val="0"/>
      </c:catAx>
      <c:valAx>
        <c:axId val="3331235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80816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860611</xdr:colOff>
      <xdr:row>0</xdr:row>
      <xdr:rowOff>0</xdr:rowOff>
    </xdr:from>
    <xdr:to>
      <xdr:col>11</xdr:col>
      <xdr:colOff>618564</xdr:colOff>
      <xdr:row>15</xdr:row>
      <xdr:rowOff>53788</xdr:rowOff>
    </xdr:to>
    <xdr:graphicFrame macro="">
      <xdr:nvGraphicFramePr>
        <xdr:cNvPr id="2" name="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645459</xdr:colOff>
      <xdr:row>0</xdr:row>
      <xdr:rowOff>67236</xdr:rowOff>
    </xdr:from>
    <xdr:to>
      <xdr:col>17</xdr:col>
      <xdr:colOff>484095</xdr:colOff>
      <xdr:row>15</xdr:row>
      <xdr:rowOff>121024</xdr:rowOff>
    </xdr:to>
    <xdr:graphicFrame macro="">
      <xdr:nvGraphicFramePr>
        <xdr:cNvPr id="3" name="2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df_stress" connectionId="1" autoFormatId="16" applyNumberFormats="0" applyBorderFormats="0" applyFontFormats="1" applyPatternFormats="1" applyAlignmentFormats="0" applyWidthHeightFormats="0"/>
</file>

<file path=xl/tables/table1.xml><?xml version="1.0" encoding="utf-8"?>
<table xmlns="http://schemas.openxmlformats.org/spreadsheetml/2006/main" id="1" name="Tabla1" displayName="Tabla1" ref="A1:D3" totalsRowShown="0">
  <autoFilter ref="A1:D3"/>
  <tableColumns count="4">
    <tableColumn id="1" name="Bonos"/>
    <tableColumn id="2" name="Duration Modificada"/>
    <tableColumn id="3" name="Pesos"/>
    <tableColumn id="4" name="Duration ponderada">
      <calculatedColumnFormula>C2*B2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a14" displayName="Tabla14" ref="A1:D4" totalsRowCount="1">
  <autoFilter ref="A1:D3"/>
  <tableColumns count="4">
    <tableColumn id="1" name="Bonos"/>
    <tableColumn id="2" name="Duration Modificada" totalsRowLabel="Suma pesos"/>
    <tableColumn id="3" name="Pesos" totalsRowFunction="custom">
      <totalsRowFormula>C2+C3</totalsRowFormula>
    </tableColumn>
    <tableColumn id="4" name="Duration ponderada">
      <calculatedColumnFormula>C2*B2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Tabla2" displayName="Tabla2" ref="A5:E8" totalsRowShown="0" headerRowDxfId="9" dataDxfId="8">
  <autoFilter ref="A5:E8"/>
  <tableColumns count="5">
    <tableColumn id="1" name="Año" dataDxfId="7"/>
    <tableColumn id="2" name="Tasas Spot" dataDxfId="6"/>
    <tableColumn id="3" name="Factor de Descuento" dataDxfId="5">
      <calculatedColumnFormula>1/POWER(B6+1,A6)</calculatedColumnFormula>
    </tableColumn>
    <tableColumn id="4" name="Flujo Fijo" dataDxfId="4"/>
    <tableColumn id="5" name="Flujo Flotante" dataDxf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4" displayName="Tabla4" ref="A1:F14" totalsRowShown="0">
  <autoFilter ref="A1:F14"/>
  <tableColumns count="6">
    <tableColumn id="1" name="shock_bps"/>
    <tableColumn id="2" name="dL"/>
    <tableColumn id="3" name="dA_sin_swap"/>
    <tableColumn id="4" name="dA_con_swap"/>
    <tableColumn id="5" name="error_sin"/>
    <tableColumn id="6" name="error_c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8334894-6FF5-48DE-AB86-A0E42A502E64}">
  <we:reference id="WA104100404" version="3.0.0.1" store="es-es" storeType="omex"/>
  <we:alternateReferences>
    <we:reference id="WA104100404" version="3.0.0.1" store="es-es" storeType="omex"/>
  </we:alternateReferences>
  <we:properties>
    <we:property name="UniqueID" value="&quot;20268171789615332254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workbookViewId="0">
      <selection activeCell="D2" sqref="D2"/>
    </sheetView>
  </sheetViews>
  <sheetFormatPr baseColWidth="10" defaultColWidth="11.44140625" defaultRowHeight="14.4" x14ac:dyDescent="0.3"/>
  <cols>
    <col min="1" max="1" width="17.88671875" bestFit="1" customWidth="1"/>
    <col min="2" max="2" width="12" bestFit="1" customWidth="1"/>
    <col min="3" max="3" width="17.88671875" bestFit="1" customWidth="1"/>
    <col min="4" max="4" width="12" bestFit="1" customWidth="1"/>
  </cols>
  <sheetData>
    <row r="2" spans="1:5" x14ac:dyDescent="0.3">
      <c r="A2" t="s">
        <v>0</v>
      </c>
      <c r="B2" t="s">
        <v>1</v>
      </c>
      <c r="D2" t="s">
        <v>2</v>
      </c>
      <c r="E2" t="s">
        <v>3</v>
      </c>
    </row>
    <row r="3" spans="1:5" x14ac:dyDescent="0.3">
      <c r="A3" t="s">
        <v>4</v>
      </c>
      <c r="B3">
        <v>1200000</v>
      </c>
      <c r="D3">
        <v>1</v>
      </c>
      <c r="E3">
        <v>0</v>
      </c>
    </row>
    <row r="4" spans="1:5" x14ac:dyDescent="0.3">
      <c r="A4" t="s">
        <v>5</v>
      </c>
      <c r="B4">
        <v>3</v>
      </c>
      <c r="D4">
        <v>2</v>
      </c>
      <c r="E4">
        <v>0</v>
      </c>
    </row>
    <row r="5" spans="1:5" x14ac:dyDescent="0.3">
      <c r="A5" t="s">
        <v>6</v>
      </c>
      <c r="B5">
        <v>7.0000000000000007E-2</v>
      </c>
      <c r="D5">
        <v>3</v>
      </c>
      <c r="E5">
        <f>B3</f>
        <v>1200000</v>
      </c>
    </row>
    <row r="6" spans="1:5" x14ac:dyDescent="0.3">
      <c r="A6" t="s">
        <v>7</v>
      </c>
      <c r="B6">
        <f xml:space="preserve"> B3/POWER(1+B5,B4)</f>
        <v>979557.45226902235</v>
      </c>
    </row>
    <row r="7" spans="1:5" x14ac:dyDescent="0.3">
      <c r="A7" t="s">
        <v>8</v>
      </c>
      <c r="B7">
        <f>B4</f>
        <v>3</v>
      </c>
    </row>
    <row r="8" spans="1:5" x14ac:dyDescent="0.3">
      <c r="A8" t="s">
        <v>9</v>
      </c>
      <c r="B8">
        <f>B7/(1+B5)</f>
        <v>2.8037383177570092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D7" sqref="D7"/>
    </sheetView>
  </sheetViews>
  <sheetFormatPr baseColWidth="10" defaultColWidth="11.44140625" defaultRowHeight="14.4" x14ac:dyDescent="0.3"/>
  <cols>
    <col min="1" max="1" width="8.44140625" bestFit="1" customWidth="1"/>
    <col min="2" max="2" width="20.6640625" bestFit="1" customWidth="1"/>
    <col min="3" max="3" width="27.6640625" bestFit="1" customWidth="1"/>
    <col min="4" max="4" width="20.33203125" bestFit="1" customWidth="1"/>
  </cols>
  <sheetData>
    <row r="1" spans="1:4" x14ac:dyDescent="0.3">
      <c r="A1" t="s">
        <v>10</v>
      </c>
      <c r="B1" t="s">
        <v>9</v>
      </c>
      <c r="C1" t="s">
        <v>11</v>
      </c>
      <c r="D1" t="s">
        <v>12</v>
      </c>
    </row>
    <row r="2" spans="1:4" x14ac:dyDescent="0.3">
      <c r="A2" t="s">
        <v>13</v>
      </c>
      <c r="B2" s="1">
        <v>1.456</v>
      </c>
      <c r="C2">
        <v>0.4</v>
      </c>
      <c r="D2">
        <f>C2*B2</f>
        <v>0.58240000000000003</v>
      </c>
    </row>
    <row r="3" spans="1:4" ht="15" thickBot="1" x14ac:dyDescent="0.35">
      <c r="A3" t="s">
        <v>14</v>
      </c>
      <c r="B3">
        <v>4.3304999999999998</v>
      </c>
      <c r="C3">
        <v>0.6</v>
      </c>
      <c r="D3">
        <f>C3*B3</f>
        <v>2.5982999999999996</v>
      </c>
    </row>
    <row r="4" spans="1:4" ht="15" thickBot="1" x14ac:dyDescent="0.35">
      <c r="C4" s="2" t="s">
        <v>15</v>
      </c>
      <c r="D4" s="4">
        <f>SUM(D2,D3)</f>
        <v>3.1806999999999999</v>
      </c>
    </row>
    <row r="5" spans="1:4" ht="15.6" thickTop="1" thickBot="1" x14ac:dyDescent="0.35">
      <c r="C5" s="2" t="s">
        <v>16</v>
      </c>
      <c r="D5" s="3">
        <f>D4-Pasivo!B8</f>
        <v>0.37696168224299065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C3" sqref="C3"/>
    </sheetView>
  </sheetViews>
  <sheetFormatPr baseColWidth="10" defaultColWidth="11.44140625" defaultRowHeight="14.4" x14ac:dyDescent="0.3"/>
  <cols>
    <col min="4" max="4" width="21.88671875" bestFit="1" customWidth="1"/>
  </cols>
  <sheetData>
    <row r="1" spans="1:4" x14ac:dyDescent="0.3">
      <c r="A1" t="s">
        <v>10</v>
      </c>
      <c r="B1" t="s">
        <v>9</v>
      </c>
      <c r="C1" t="s">
        <v>11</v>
      </c>
      <c r="D1" t="s">
        <v>12</v>
      </c>
    </row>
    <row r="2" spans="1:4" x14ac:dyDescent="0.3">
      <c r="A2" t="s">
        <v>13</v>
      </c>
      <c r="B2" s="1">
        <v>1.456</v>
      </c>
      <c r="C2">
        <v>0.53113991380707248</v>
      </c>
      <c r="D2">
        <f>C2*B2</f>
        <v>0.77333971450309746</v>
      </c>
    </row>
    <row r="3" spans="1:4" x14ac:dyDescent="0.3">
      <c r="A3" t="s">
        <v>14</v>
      </c>
      <c r="B3">
        <v>4.3304999999999998</v>
      </c>
      <c r="C3">
        <v>0.46886008619292752</v>
      </c>
      <c r="D3">
        <f>C3*B3</f>
        <v>2.0303986032584724</v>
      </c>
    </row>
    <row r="4" spans="1:4" x14ac:dyDescent="0.3">
      <c r="B4" t="s">
        <v>17</v>
      </c>
      <c r="C4">
        <f>C2+C3</f>
        <v>1</v>
      </c>
    </row>
    <row r="6" spans="1:4" x14ac:dyDescent="0.3">
      <c r="C6" s="2" t="s">
        <v>18</v>
      </c>
      <c r="D6" s="4">
        <f>SUM(D2,D3)</f>
        <v>2.80373831776157</v>
      </c>
    </row>
    <row r="7" spans="1:4" x14ac:dyDescent="0.3">
      <c r="C7" s="2" t="s">
        <v>16</v>
      </c>
      <c r="D7" s="3">
        <f>ABS(D6-Pasivo!B8)</f>
        <v>4.5607961851601431E-12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activeCell="B17" sqref="B17"/>
    </sheetView>
  </sheetViews>
  <sheetFormatPr baseColWidth="10" defaultColWidth="11.5546875" defaultRowHeight="14.4" x14ac:dyDescent="0.3"/>
  <cols>
    <col min="1" max="1" width="16.88671875" style="5" bestFit="1" customWidth="1"/>
    <col min="2" max="2" width="14.33203125" style="5" bestFit="1" customWidth="1"/>
    <col min="3" max="3" width="22.6640625" style="5" bestFit="1" customWidth="1"/>
    <col min="4" max="4" width="13" style="5" bestFit="1" customWidth="1"/>
    <col min="5" max="5" width="16.88671875" style="5" bestFit="1" customWidth="1"/>
    <col min="6" max="6" width="8.109375" style="5" bestFit="1" customWidth="1"/>
    <col min="7" max="16384" width="11.5546875" style="5"/>
  </cols>
  <sheetData>
    <row r="1" spans="1:5" x14ac:dyDescent="0.3">
      <c r="A1" s="5" t="s">
        <v>19</v>
      </c>
    </row>
    <row r="2" spans="1:5" x14ac:dyDescent="0.3">
      <c r="A2" s="5" t="s">
        <v>20</v>
      </c>
      <c r="B2" s="5">
        <v>500000</v>
      </c>
    </row>
    <row r="3" spans="1:5" x14ac:dyDescent="0.3">
      <c r="A3" s="5" t="s">
        <v>21</v>
      </c>
      <c r="B3" s="5">
        <f>(1-C8)/SUM(C6:C8)</f>
        <v>4.4074794821896343E-2</v>
      </c>
    </row>
    <row r="5" spans="1:5" x14ac:dyDescent="0.3">
      <c r="A5" s="5" t="s">
        <v>2</v>
      </c>
      <c r="B5" s="5" t="s">
        <v>22</v>
      </c>
      <c r="C5" s="5" t="s">
        <v>23</v>
      </c>
      <c r="D5" s="5" t="s">
        <v>24</v>
      </c>
      <c r="E5" s="5" t="s">
        <v>25</v>
      </c>
    </row>
    <row r="6" spans="1:5" x14ac:dyDescent="0.3">
      <c r="A6" s="5">
        <v>1</v>
      </c>
      <c r="B6" s="5">
        <v>4.2729999999999997E-2</v>
      </c>
      <c r="C6" s="5">
        <f>1/POWER(B6+1,A6)</f>
        <v>0.95902103133121719</v>
      </c>
      <c r="D6" s="5">
        <f>$B$2*'Swap e Inumnizacion'!$B$3*C6</f>
        <v>21134.32759290341</v>
      </c>
      <c r="E6" s="5">
        <f>B2</f>
        <v>500000</v>
      </c>
    </row>
    <row r="7" spans="1:5" x14ac:dyDescent="0.3">
      <c r="A7" s="5">
        <v>2</v>
      </c>
      <c r="B7" s="5">
        <v>4.3920000000000001E-2</v>
      </c>
      <c r="C7" s="5">
        <f>1/POWER(B7+1,A7)</f>
        <v>0.91762569024465124</v>
      </c>
      <c r="D7" s="5">
        <f>$B$2*'Swap e Inumnizacion'!$B$3*C7</f>
        <v>20222.082010417005</v>
      </c>
      <c r="E7" s="5" t="s">
        <v>26</v>
      </c>
    </row>
    <row r="8" spans="1:5" x14ac:dyDescent="0.3">
      <c r="A8" s="5">
        <v>3</v>
      </c>
      <c r="B8" s="5">
        <v>4.41E-2</v>
      </c>
      <c r="C8" s="5">
        <f>1/POWER(B8+1,A8)</f>
        <v>0.87856462519989742</v>
      </c>
      <c r="D8" s="5">
        <f>$B$2*('Swap e Inumnizacion'!$B$3+1)*C8</f>
        <v>458643.59039667953</v>
      </c>
      <c r="E8" s="5" t="s">
        <v>26</v>
      </c>
    </row>
    <row r="9" spans="1:5" x14ac:dyDescent="0.3">
      <c r="D9" s="5">
        <f>SUM(D6:D8)</f>
        <v>499999.99999999994</v>
      </c>
    </row>
    <row r="10" spans="1:5" x14ac:dyDescent="0.3">
      <c r="C10" s="5" t="s">
        <v>8</v>
      </c>
      <c r="D10" s="5">
        <f>SUMPRODUCT(Tabla2[Flujo Fijo],Tabla2[Año])/D9</f>
        <v>2.8750185256075529</v>
      </c>
      <c r="E10" s="5">
        <v>0</v>
      </c>
    </row>
    <row r="11" spans="1:5" x14ac:dyDescent="0.3">
      <c r="C11" s="5" t="s">
        <v>27</v>
      </c>
      <c r="D11" s="5">
        <f>D10/(1+B8)</f>
        <v>2.7535854090676688</v>
      </c>
      <c r="E11" s="5">
        <v>0</v>
      </c>
    </row>
    <row r="14" spans="1:5" x14ac:dyDescent="0.3">
      <c r="A14" s="5" t="s">
        <v>20</v>
      </c>
      <c r="B14" s="5">
        <f>(+Pasivo!B8*Pasivo!B6-Cartera!D4*Pasivo!B6)/D11</f>
        <v>-134099.93524988013</v>
      </c>
    </row>
    <row r="15" spans="1:5" x14ac:dyDescent="0.3">
      <c r="A15" s="5" t="s">
        <v>28</v>
      </c>
      <c r="B15" s="5">
        <f>(Cartera!D4*Pasivo!B6+'Swap e Inumnizacion'!B14*'Swap e Inumnizacion'!D11)/Pasivo!B6</f>
        <v>2.8037383177570092</v>
      </c>
    </row>
    <row r="16" spans="1:5" x14ac:dyDescent="0.3">
      <c r="A16" s="5" t="s">
        <v>29</v>
      </c>
      <c r="B16" s="5">
        <f>Pasivo!B8</f>
        <v>2.8037383177570092</v>
      </c>
    </row>
    <row r="17" spans="1:2" x14ac:dyDescent="0.3">
      <c r="A17" s="5" t="s">
        <v>16</v>
      </c>
      <c r="B17" s="5">
        <f>B15-B16</f>
        <v>0</v>
      </c>
    </row>
  </sheetData>
  <conditionalFormatting sqref="D9">
    <cfRule type="cellIs" dxfId="2" priority="3" operator="equal">
      <formula>$E$6</formula>
    </cfRule>
  </conditionalFormatting>
  <conditionalFormatting sqref="E6">
    <cfRule type="cellIs" dxfId="1" priority="1" operator="equal">
      <formula>$D$9</formula>
    </cfRule>
    <cfRule type="cellIs" dxfId="0" priority="2" operator="equal">
      <formula>"$D$11"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zoomScale="85" zoomScaleNormal="85" workbookViewId="0">
      <selection activeCell="L18" sqref="L18"/>
    </sheetView>
  </sheetViews>
  <sheetFormatPr baseColWidth="10" defaultColWidth="11.44140625" defaultRowHeight="14.4" x14ac:dyDescent="0.3"/>
  <cols>
    <col min="1" max="1" width="9.44140625" customWidth="1"/>
    <col min="2" max="6" width="12.6640625" customWidth="1"/>
  </cols>
  <sheetData>
    <row r="1" spans="1:6" x14ac:dyDescent="0.3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 x14ac:dyDescent="0.3">
      <c r="A2">
        <v>-300</v>
      </c>
      <c r="B2">
        <v>87238.178136075294</v>
      </c>
      <c r="C2">
        <v>93470.351652962301</v>
      </c>
      <c r="D2">
        <v>81733.806439890104</v>
      </c>
      <c r="E2">
        <v>6232.17351688699</v>
      </c>
      <c r="F2">
        <v>-5504.3716961852397</v>
      </c>
    </row>
    <row r="3" spans="1:6" x14ac:dyDescent="0.3">
      <c r="A3">
        <v>-250</v>
      </c>
      <c r="B3">
        <v>71998.4725968688</v>
      </c>
      <c r="C3">
        <v>77891.959710801893</v>
      </c>
      <c r="D3">
        <v>68206.718582388596</v>
      </c>
      <c r="E3">
        <v>5893.4871139330999</v>
      </c>
      <c r="F3">
        <v>-3791.7540144802701</v>
      </c>
    </row>
    <row r="4" spans="1:6" x14ac:dyDescent="0.3">
      <c r="A4">
        <v>-200</v>
      </c>
      <c r="B4">
        <v>57047.665968748799</v>
      </c>
      <c r="C4">
        <v>62313.5677686415</v>
      </c>
      <c r="D4">
        <v>54640.313721376297</v>
      </c>
      <c r="E4">
        <v>5265.9017998927202</v>
      </c>
      <c r="F4">
        <v>-2407.3522473724602</v>
      </c>
    </row>
    <row r="5" spans="1:6" x14ac:dyDescent="0.3">
      <c r="A5">
        <v>-150</v>
      </c>
      <c r="B5">
        <v>42378.944751564799</v>
      </c>
      <c r="C5">
        <v>46735.1758264811</v>
      </c>
      <c r="D5">
        <v>41035.535725748501</v>
      </c>
      <c r="E5">
        <v>4356.2310749162998</v>
      </c>
      <c r="F5">
        <v>-1343.4090258162901</v>
      </c>
    </row>
    <row r="6" spans="1:6" x14ac:dyDescent="0.3">
      <c r="A6">
        <v>-100</v>
      </c>
      <c r="B6">
        <v>27985.687369739699</v>
      </c>
      <c r="C6">
        <v>31156.783884320699</v>
      </c>
      <c r="D6">
        <v>27393.301329214999</v>
      </c>
      <c r="E6">
        <v>3171.0965145810201</v>
      </c>
      <c r="F6">
        <v>-592.38604052470305</v>
      </c>
    </row>
    <row r="7" spans="1:6" x14ac:dyDescent="0.3">
      <c r="A7">
        <v>-50</v>
      </c>
      <c r="B7">
        <v>13861.457894553399</v>
      </c>
      <c r="C7">
        <v>15578.3919421603</v>
      </c>
      <c r="D7">
        <v>13714.5010373283</v>
      </c>
      <c r="E7">
        <v>1716.9340476069401</v>
      </c>
      <c r="F7">
        <v>-146.95685722512999</v>
      </c>
    </row>
    <row r="8" spans="1:6" x14ac:dyDescent="0.3">
      <c r="A8">
        <v>0</v>
      </c>
      <c r="B8">
        <v>0</v>
      </c>
      <c r="C8" s="6">
        <v>-2.1619361776026799E-11</v>
      </c>
      <c r="D8" s="6">
        <v>-2.1619361776026799E-11</v>
      </c>
      <c r="E8" s="6">
        <v>-2.1619361776026799E-11</v>
      </c>
      <c r="F8" s="6">
        <v>-2.1619361776026799E-11</v>
      </c>
    </row>
    <row r="9" spans="1:6" x14ac:dyDescent="0.3">
      <c r="A9">
        <v>50</v>
      </c>
      <c r="B9">
        <v>-13604.768857498701</v>
      </c>
      <c r="C9">
        <v>-15578.391942160401</v>
      </c>
      <c r="D9">
        <v>-13749.3611490249</v>
      </c>
      <c r="E9">
        <v>-1973.62308466164</v>
      </c>
      <c r="F9">
        <v>-144.59229152615001</v>
      </c>
    </row>
    <row r="10" spans="1:6" x14ac:dyDescent="0.3">
      <c r="A10">
        <v>100</v>
      </c>
      <c r="B10">
        <v>-26958.763044818799</v>
      </c>
      <c r="C10">
        <v>-31156.783884320801</v>
      </c>
      <c r="D10">
        <v>-27532.765484332002</v>
      </c>
      <c r="E10">
        <v>-4198.0208395019299</v>
      </c>
      <c r="F10">
        <v>-574.00243951315497</v>
      </c>
    </row>
    <row r="11" spans="1:6" x14ac:dyDescent="0.3">
      <c r="A11">
        <v>150</v>
      </c>
      <c r="B11">
        <v>-40067.734152147197</v>
      </c>
      <c r="C11">
        <v>-46735.175826481202</v>
      </c>
      <c r="D11">
        <v>-41349.4190113062</v>
      </c>
      <c r="E11">
        <v>-6667.4416743340298</v>
      </c>
      <c r="F11">
        <v>-1281.6848591590101</v>
      </c>
    </row>
    <row r="12" spans="1:6" x14ac:dyDescent="0.3">
      <c r="A12">
        <v>200</v>
      </c>
      <c r="B12">
        <v>-52937.276195745297</v>
      </c>
      <c r="C12">
        <v>-62313.567768641602</v>
      </c>
      <c r="D12">
        <v>-55198.549917629098</v>
      </c>
      <c r="E12">
        <v>-9376.2915728962907</v>
      </c>
      <c r="F12">
        <v>-2261.2737218837701</v>
      </c>
    </row>
    <row r="13" spans="1:6" x14ac:dyDescent="0.3">
      <c r="A13">
        <v>250</v>
      </c>
      <c r="B13">
        <v>-65572.830631521705</v>
      </c>
      <c r="C13">
        <v>-77891.959710801995</v>
      </c>
      <c r="D13">
        <v>-69079.407852593693</v>
      </c>
      <c r="E13">
        <v>-12319.129079280199</v>
      </c>
      <c r="F13">
        <v>-3506.5772210719201</v>
      </c>
    </row>
    <row r="14" spans="1:6" x14ac:dyDescent="0.3">
      <c r="A14">
        <v>300</v>
      </c>
      <c r="B14">
        <v>-77979.691187129298</v>
      </c>
      <c r="C14">
        <v>-93470.351652962403</v>
      </c>
      <c r="D14">
        <v>-82991.263233075006</v>
      </c>
      <c r="E14">
        <v>-15490.660465833</v>
      </c>
      <c r="F14">
        <v>-5011.5720459456497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Pasivo</vt:lpstr>
      <vt:lpstr>Cartera</vt:lpstr>
      <vt:lpstr>Cartera (Solver)</vt:lpstr>
      <vt:lpstr>Swap e Inumnizacion</vt:lpstr>
      <vt:lpstr>Stress Test</vt:lpstr>
      <vt:lpstr>'Stress Test'!df_stress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julian giubi perez</dc:creator>
  <cp:keywords/>
  <dc:description/>
  <cp:lastModifiedBy>julian giubi perez</cp:lastModifiedBy>
  <cp:revision/>
  <dcterms:created xsi:type="dcterms:W3CDTF">2026-09-17T02:32:11Z</dcterms:created>
  <dcterms:modified xsi:type="dcterms:W3CDTF">2026-09-17T03:39:26Z</dcterms:modified>
  <cp:category/>
  <cp:contentStatus/>
</cp:coreProperties>
</file>